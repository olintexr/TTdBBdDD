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659133e65771de/Desktop/TTdBBdDD/Sesiones/"/>
    </mc:Choice>
  </mc:AlternateContent>
  <xr:revisionPtr revIDLastSave="48" documentId="8_{760E477C-B1E3-4259-A298-E24240E69CBD}" xr6:coauthVersionLast="47" xr6:coauthVersionMax="47" xr10:uidLastSave="{9676C223-4E86-43B1-AD27-7D1043AFA943}"/>
  <bookViews>
    <workbookView xWindow="28680" yWindow="-120" windowWidth="29040" windowHeight="16440" xr2:uid="{316E7382-2BF9-40F4-AB39-AFEE0C695768}"/>
  </bookViews>
  <sheets>
    <sheet name="OLTP" sheetId="1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3" i="1"/>
  <c r="AB2" i="1"/>
  <c r="AC2" i="1"/>
  <c r="AD2" i="1"/>
  <c r="AA2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3" i="1"/>
  <c r="AJ4" i="1"/>
  <c r="AJ5" i="1"/>
  <c r="AJ6" i="1"/>
  <c r="AJ7" i="1"/>
  <c r="AJ8" i="1"/>
  <c r="AJ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3" i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B3" i="1"/>
  <c r="B4" i="1" s="1"/>
  <c r="B5" i="1" s="1"/>
  <c r="B6" i="1" s="1"/>
  <c r="B7" i="1" s="1"/>
</calcChain>
</file>

<file path=xl/sharedStrings.xml><?xml version="1.0" encoding="utf-8"?>
<sst xmlns="http://schemas.openxmlformats.org/spreadsheetml/2006/main" count="121" uniqueCount="56">
  <si>
    <t>Producto</t>
  </si>
  <si>
    <t>Precio</t>
  </si>
  <si>
    <t>Costo</t>
  </si>
  <si>
    <t>Subtotal</t>
  </si>
  <si>
    <t>Factura</t>
  </si>
  <si>
    <t>A</t>
  </si>
  <si>
    <t>B</t>
  </si>
  <si>
    <t>C</t>
  </si>
  <si>
    <t>D</t>
  </si>
  <si>
    <t>E</t>
  </si>
  <si>
    <t>Renglón</t>
  </si>
  <si>
    <t>Fecha</t>
  </si>
  <si>
    <t>Hora</t>
  </si>
  <si>
    <t>Sucursal</t>
  </si>
  <si>
    <t>OLTP</t>
  </si>
  <si>
    <t>Dirección</t>
  </si>
  <si>
    <t>Bella Vista</t>
  </si>
  <si>
    <t>5 de Julio</t>
  </si>
  <si>
    <t>Delicias</t>
  </si>
  <si>
    <t>Tipo</t>
  </si>
  <si>
    <t>Textil</t>
  </si>
  <si>
    <t>Licor</t>
  </si>
  <si>
    <t>Bebidas</t>
  </si>
  <si>
    <t>Carnes</t>
  </si>
  <si>
    <t>Prod</t>
  </si>
  <si>
    <t>Cant</t>
  </si>
  <si>
    <t>Monto de las facturas</t>
  </si>
  <si>
    <t>Cantidad de productos por factura</t>
  </si>
  <si>
    <t xml:space="preserve">Horas de venta </t>
  </si>
  <si>
    <t>Cantidad de productos distintos por factura</t>
  </si>
  <si>
    <t>Transacciones --&gt; Tablas de hechos</t>
  </si>
  <si>
    <t>Foráneas --&gt; Dimensiones</t>
  </si>
  <si>
    <t>Abarrotes</t>
  </si>
  <si>
    <t>R001</t>
  </si>
  <si>
    <t>R002</t>
  </si>
  <si>
    <t>R003</t>
  </si>
  <si>
    <t>R004</t>
  </si>
  <si>
    <t>Fact/Venta</t>
  </si>
  <si>
    <t>Dim/Sucursal</t>
  </si>
  <si>
    <t>Dim/Prod</t>
  </si>
  <si>
    <t>OLAP</t>
  </si>
  <si>
    <t>Fact/Venta resumen</t>
  </si>
  <si>
    <t>ETL</t>
  </si>
  <si>
    <t>Extract</t>
  </si>
  <si>
    <t>Transformation</t>
  </si>
  <si>
    <t>Loading</t>
  </si>
  <si>
    <t>Tarea</t>
  </si>
  <si>
    <t>Ver qué otros reportes pueden hacerse</t>
  </si>
  <si>
    <t>Ver qué otras transformaciones pueden hacerse</t>
  </si>
  <si>
    <t>Revisar bibliografía de ETL/ELT</t>
  </si>
  <si>
    <t>Correo</t>
  </si>
  <si>
    <t>* Un único archivo con nombre:</t>
  </si>
  <si>
    <t xml:space="preserve">  -- [olinto.info+topicos@gmail.com](mailto:olinto.info+topicos@gmail.com)</t>
  </si>
  <si>
    <t xml:space="preserve">  -- Subject: TOPICOS - PROYECTO ETL – APELLIDOS, NOMBRES</t>
  </si>
  <si>
    <t xml:space="preserve">  -- TOPICOS - PROYECTO ETL – APELLIDOS, NOMBRES.txt/word</t>
  </si>
  <si>
    <t>Ganancia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</si>
</sst>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0000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7030A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164" fontId="0" fillId="0" borderId="1" xfId="0" applyNumberFormat="1" applyBorder="1"/>
    <xf numFmtId="14" fontId="0" fillId="0" borderId="1" xfId="0" applyNumberFormat="1" applyBorder="1"/>
    <xf numFmtId="20" fontId="0" fillId="0" borderId="1" xfId="0" applyNumberFormat="1" applyBorder="1"/>
    <xf numFmtId="0" fontId="0" fillId="0" borderId="1" xfId="0" applyBorder="1"/>
    <xf numFmtId="43" fontId="0" fillId="0" borderId="1" xfId="1" applyFont="1" applyBorder="1"/>
    <xf numFmtId="0" fontId="2" fillId="2" borderId="2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4" fontId="0" fillId="0" borderId="8" xfId="0" applyNumberFormat="1" applyBorder="1"/>
    <xf numFmtId="20" fontId="0" fillId="0" borderId="8" xfId="0" applyNumberFormat="1" applyBorder="1"/>
    <xf numFmtId="164" fontId="0" fillId="0" borderId="9" xfId="0" applyNumberFormat="1" applyBorder="1"/>
    <xf numFmtId="0" fontId="5" fillId="3" borderId="3" xfId="0" applyFont="1" applyFill="1" applyBorder="1"/>
    <xf numFmtId="0" fontId="6" fillId="3" borderId="4" xfId="0" applyFont="1" applyFill="1" applyBorder="1"/>
    <xf numFmtId="0" fontId="0" fillId="0" borderId="8" xfId="0" applyBorder="1"/>
    <xf numFmtId="43" fontId="0" fillId="0" borderId="8" xfId="1" applyFont="1" applyBorder="1"/>
    <xf numFmtId="43" fontId="0" fillId="0" borderId="1" xfId="1" applyFont="1" applyFill="1" applyBorder="1"/>
    <xf numFmtId="165" fontId="0" fillId="0" borderId="1" xfId="1" applyNumberFormat="1" applyFont="1" applyFill="1" applyBorder="1"/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4" fillId="6" borderId="0" xfId="0" applyFont="1" applyFill="1"/>
    <xf numFmtId="0" fontId="2" fillId="2" borderId="0" xfId="0" applyFont="1" applyFill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521805</xdr:colOff>
      <xdr:row>8</xdr:row>
      <xdr:rowOff>159275</xdr:rowOff>
    </xdr:from>
    <xdr:to>
      <xdr:col>15</xdr:col>
      <xdr:colOff>561312</xdr:colOff>
      <xdr:row>21</xdr:row>
      <xdr:rowOff>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BA57579-B822-73A1-6E06-0C2655C43D07}"/>
            </a:ext>
          </a:extLst>
        </xdr:cNvPr>
        <xdr:cNvSpPr/>
      </xdr:nvSpPr>
      <xdr:spPr>
        <a:xfrm>
          <a:off x="7073348" y="1641862"/>
          <a:ext cx="3907486" cy="2226116"/>
        </a:xfrm>
        <a:prstGeom prst="rightArrow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AFAB-84BE-4651-9538-0A7640E4EF5A}">
  <dimension ref="A1:AJ36"/>
  <sheetViews>
    <sheetView tabSelected="1" topLeftCell="R1" zoomScale="145" zoomScaleNormal="145" workbookViewId="0">
      <selection activeCell="X18" sqref="X18:AB20"/>
    </sheetView>
  </sheetViews>
  <sheetFormatPr defaultRowHeight="14.4" x14ac:dyDescent="0.3"/>
  <cols>
    <col min="2" max="2" width="10" bestFit="1" customWidth="1"/>
    <col min="3" max="3" width="8.33203125" bestFit="1" customWidth="1"/>
    <col min="4" max="4" width="8.44140625" bestFit="1" customWidth="1"/>
    <col min="6" max="6" width="8.21875" bestFit="1" customWidth="1"/>
    <col min="7" max="7" width="5" bestFit="1" customWidth="1"/>
    <col min="8" max="10" width="7.109375" bestFit="1" customWidth="1"/>
    <col min="11" max="11" width="7.33203125" bestFit="1" customWidth="1"/>
    <col min="14" max="14" width="38.44140625" bestFit="1" customWidth="1"/>
    <col min="17" max="17" width="12.33203125" bestFit="1" customWidth="1"/>
    <col min="18" max="18" width="9.5546875" bestFit="1" customWidth="1"/>
    <col min="20" max="20" width="10.109375" bestFit="1" customWidth="1"/>
    <col min="32" max="32" width="17.6640625" bestFit="1" customWidth="1"/>
  </cols>
  <sheetData>
    <row r="1" spans="1:36" ht="15" thickTop="1" x14ac:dyDescent="0.3">
      <c r="A1" s="8" t="s">
        <v>4</v>
      </c>
      <c r="B1" s="9" t="s">
        <v>11</v>
      </c>
      <c r="C1" s="9" t="s">
        <v>12</v>
      </c>
      <c r="D1" s="10" t="s">
        <v>13</v>
      </c>
      <c r="F1" s="8" t="s">
        <v>10</v>
      </c>
      <c r="G1" s="17" t="s">
        <v>24</v>
      </c>
      <c r="H1" s="17" t="s">
        <v>25</v>
      </c>
      <c r="I1" s="17" t="s">
        <v>1</v>
      </c>
      <c r="J1" s="17" t="s">
        <v>2</v>
      </c>
      <c r="K1" s="18" t="s">
        <v>4</v>
      </c>
      <c r="N1" t="s">
        <v>26</v>
      </c>
      <c r="O1" t="s">
        <v>33</v>
      </c>
      <c r="Q1" s="23" t="s">
        <v>38</v>
      </c>
      <c r="T1" s="23" t="s">
        <v>37</v>
      </c>
      <c r="AF1" s="23" t="s">
        <v>41</v>
      </c>
    </row>
    <row r="2" spans="1:36" x14ac:dyDescent="0.3">
      <c r="A2" s="11">
        <v>1</v>
      </c>
      <c r="B2" s="4">
        <v>46027</v>
      </c>
      <c r="C2" s="5">
        <v>0.4201388888888889</v>
      </c>
      <c r="D2" s="12">
        <v>1</v>
      </c>
      <c r="F2" s="11">
        <v>1</v>
      </c>
      <c r="G2" s="6" t="s">
        <v>5</v>
      </c>
      <c r="H2" s="7">
        <v>10</v>
      </c>
      <c r="I2" s="7">
        <v>15</v>
      </c>
      <c r="J2" s="7">
        <v>10</v>
      </c>
      <c r="K2" s="12">
        <v>1</v>
      </c>
      <c r="N2" t="s">
        <v>29</v>
      </c>
      <c r="O2" t="s">
        <v>34</v>
      </c>
      <c r="Q2" s="24" t="s">
        <v>13</v>
      </c>
      <c r="R2" s="24" t="s">
        <v>15</v>
      </c>
      <c r="T2" s="24" t="s">
        <v>24</v>
      </c>
      <c r="U2" s="24" t="s">
        <v>25</v>
      </c>
      <c r="V2" s="24" t="s">
        <v>1</v>
      </c>
      <c r="W2" s="24" t="s">
        <v>2</v>
      </c>
      <c r="X2" s="24" t="s">
        <v>4</v>
      </c>
      <c r="Y2" s="24" t="s">
        <v>3</v>
      </c>
      <c r="Z2" s="24" t="s">
        <v>55</v>
      </c>
      <c r="AA2" s="24" t="str">
        <f>AG2</f>
        <v>R001</v>
      </c>
      <c r="AB2" s="24" t="str">
        <f t="shared" ref="AB2:AD2" si="0">AH2</f>
        <v>R002</v>
      </c>
      <c r="AC2" s="24" t="str">
        <f t="shared" si="0"/>
        <v>R003</v>
      </c>
      <c r="AD2" s="24" t="str">
        <f t="shared" si="0"/>
        <v>R004</v>
      </c>
      <c r="AF2" s="24" t="s">
        <v>4</v>
      </c>
      <c r="AG2" s="24" t="s">
        <v>33</v>
      </c>
      <c r="AH2" s="24" t="s">
        <v>34</v>
      </c>
      <c r="AI2" s="24" t="s">
        <v>35</v>
      </c>
      <c r="AJ2" s="24" t="s">
        <v>36</v>
      </c>
    </row>
    <row r="3" spans="1:36" x14ac:dyDescent="0.3">
      <c r="A3" s="11">
        <v>2</v>
      </c>
      <c r="B3" s="4">
        <f>B2+1</f>
        <v>46028</v>
      </c>
      <c r="C3" s="5">
        <v>0.56597222222222221</v>
      </c>
      <c r="D3" s="12">
        <v>1</v>
      </c>
      <c r="F3" s="11">
        <f>F2+1</f>
        <v>2</v>
      </c>
      <c r="G3" s="6" t="s">
        <v>6</v>
      </c>
      <c r="H3" s="7">
        <v>15</v>
      </c>
      <c r="I3" s="7">
        <v>20</v>
      </c>
      <c r="J3" s="7">
        <v>17</v>
      </c>
      <c r="K3" s="12">
        <v>1</v>
      </c>
      <c r="N3" t="s">
        <v>27</v>
      </c>
      <c r="O3" t="s">
        <v>35</v>
      </c>
      <c r="Q3" s="3">
        <v>1</v>
      </c>
      <c r="R3" s="6" t="s">
        <v>16</v>
      </c>
      <c r="T3" s="6" t="s">
        <v>5</v>
      </c>
      <c r="U3" s="7">
        <v>10</v>
      </c>
      <c r="V3" s="7">
        <v>15</v>
      </c>
      <c r="W3" s="7">
        <v>10</v>
      </c>
      <c r="X3" s="3">
        <v>1</v>
      </c>
      <c r="Y3" s="7">
        <f>U3*V3</f>
        <v>150</v>
      </c>
      <c r="Z3" s="7">
        <f>U3*(V3-W3)</f>
        <v>50</v>
      </c>
      <c r="AA3" s="7">
        <f>VLOOKUP(X3,$AF$3:$AG$8,2,FALSE)</f>
        <v>607</v>
      </c>
      <c r="AB3" s="7">
        <f>VLOOKUP(X3,$AF$3:$AH$8,3,FALSE)</f>
        <v>5</v>
      </c>
      <c r="AC3" s="7">
        <f>VLOOKUP(X3,$AF$3:$AI$8,4,FALSE)</f>
        <v>32</v>
      </c>
      <c r="AD3" s="5">
        <f>VLOOKUP(X3,$AF$3:$AJ$8,5,FALSE)</f>
        <v>0.4201388888888889</v>
      </c>
      <c r="AF3" s="3">
        <v>1</v>
      </c>
      <c r="AG3" s="21">
        <v>607</v>
      </c>
      <c r="AH3" s="21">
        <v>5</v>
      </c>
      <c r="AI3" s="22">
        <v>32</v>
      </c>
      <c r="AJ3" s="5">
        <f>VLOOKUP(AF3,$A$2:$D$7,3,FALSE)</f>
        <v>0.4201388888888889</v>
      </c>
    </row>
    <row r="4" spans="1:36" x14ac:dyDescent="0.3">
      <c r="A4" s="11">
        <v>3</v>
      </c>
      <c r="B4" s="4">
        <f>B3+1</f>
        <v>46029</v>
      </c>
      <c r="C4" s="5">
        <v>0.59583333333333333</v>
      </c>
      <c r="D4" s="12">
        <v>2</v>
      </c>
      <c r="F4" s="11">
        <f t="shared" ref="F4:F19" si="1">F3+1</f>
        <v>3</v>
      </c>
      <c r="G4" s="6" t="s">
        <v>7</v>
      </c>
      <c r="H4" s="7">
        <v>2</v>
      </c>
      <c r="I4" s="7">
        <v>35</v>
      </c>
      <c r="J4" s="7">
        <v>30</v>
      </c>
      <c r="K4" s="12">
        <v>1</v>
      </c>
      <c r="N4" t="s">
        <v>28</v>
      </c>
      <c r="O4" t="s">
        <v>36</v>
      </c>
      <c r="Q4" s="3">
        <v>2</v>
      </c>
      <c r="R4" s="6" t="s">
        <v>17</v>
      </c>
      <c r="T4" s="6" t="s">
        <v>6</v>
      </c>
      <c r="U4" s="7">
        <v>15</v>
      </c>
      <c r="V4" s="7">
        <v>20</v>
      </c>
      <c r="W4" s="7">
        <v>17</v>
      </c>
      <c r="X4" s="3">
        <v>1</v>
      </c>
      <c r="Y4" s="7">
        <f t="shared" ref="Y4:Y20" si="2">U4*V4</f>
        <v>300</v>
      </c>
      <c r="Z4" s="7">
        <f t="shared" ref="Z4:Z20" si="3">U4*(V4-W4)</f>
        <v>45</v>
      </c>
      <c r="AA4" s="7">
        <f t="shared" ref="AA4:AA20" si="4">VLOOKUP(X4,$AF$3:$AG$8,2,FALSE)</f>
        <v>607</v>
      </c>
      <c r="AB4" s="7">
        <f t="shared" ref="AB4:AB20" si="5">VLOOKUP(X4,$AF$3:$AH$8,3,FALSE)</f>
        <v>5</v>
      </c>
      <c r="AC4" s="7">
        <f t="shared" ref="AC4:AC20" si="6">VLOOKUP(X4,$AF$3:$AI$8,4,FALSE)</f>
        <v>32</v>
      </c>
      <c r="AD4" s="5">
        <f t="shared" ref="AD4:AD20" si="7">VLOOKUP(X4,$AF$3:$AJ$8,5,FALSE)</f>
        <v>0.4201388888888889</v>
      </c>
      <c r="AF4" s="3">
        <v>2</v>
      </c>
      <c r="AG4" s="21">
        <v>110</v>
      </c>
      <c r="AH4" s="21">
        <v>3</v>
      </c>
      <c r="AI4" s="22">
        <v>7</v>
      </c>
      <c r="AJ4" s="5">
        <f t="shared" ref="AJ4:AJ8" si="8">VLOOKUP(AF4,$A$2:$D$7,3,FALSE)</f>
        <v>0.56597222222222221</v>
      </c>
    </row>
    <row r="5" spans="1:36" x14ac:dyDescent="0.3">
      <c r="A5" s="11">
        <v>4</v>
      </c>
      <c r="B5" s="4">
        <f t="shared" ref="B5:B7" si="9">B4+1</f>
        <v>46030</v>
      </c>
      <c r="C5" s="5">
        <v>0.56597222222222221</v>
      </c>
      <c r="D5" s="12">
        <v>1</v>
      </c>
      <c r="F5" s="11">
        <f t="shared" si="1"/>
        <v>4</v>
      </c>
      <c r="G5" s="6" t="s">
        <v>8</v>
      </c>
      <c r="H5" s="7">
        <v>4</v>
      </c>
      <c r="I5" s="7">
        <v>18</v>
      </c>
      <c r="J5" s="7">
        <v>12</v>
      </c>
      <c r="K5" s="12">
        <v>1</v>
      </c>
      <c r="Q5" s="3">
        <v>3</v>
      </c>
      <c r="R5" s="6" t="s">
        <v>18</v>
      </c>
      <c r="T5" s="6" t="s">
        <v>7</v>
      </c>
      <c r="U5" s="7">
        <v>2</v>
      </c>
      <c r="V5" s="7">
        <v>35</v>
      </c>
      <c r="W5" s="7">
        <v>30</v>
      </c>
      <c r="X5" s="3">
        <v>1</v>
      </c>
      <c r="Y5" s="7">
        <f t="shared" si="2"/>
        <v>70</v>
      </c>
      <c r="Z5" s="7">
        <f t="shared" si="3"/>
        <v>10</v>
      </c>
      <c r="AA5" s="7">
        <f t="shared" si="4"/>
        <v>607</v>
      </c>
      <c r="AB5" s="7">
        <f t="shared" si="5"/>
        <v>5</v>
      </c>
      <c r="AC5" s="7">
        <f t="shared" si="6"/>
        <v>32</v>
      </c>
      <c r="AD5" s="5">
        <f t="shared" si="7"/>
        <v>0.4201388888888889</v>
      </c>
      <c r="AF5" s="3">
        <v>3</v>
      </c>
      <c r="AG5" s="21">
        <v>35</v>
      </c>
      <c r="AH5" s="21">
        <v>1</v>
      </c>
      <c r="AI5" s="22">
        <v>1</v>
      </c>
      <c r="AJ5" s="5">
        <f t="shared" si="8"/>
        <v>0.59583333333333333</v>
      </c>
    </row>
    <row r="6" spans="1:36" x14ac:dyDescent="0.3">
      <c r="A6" s="11">
        <v>5</v>
      </c>
      <c r="B6" s="4">
        <f t="shared" si="9"/>
        <v>46031</v>
      </c>
      <c r="C6" s="5">
        <v>0.96805555555555556</v>
      </c>
      <c r="D6" s="12">
        <v>1</v>
      </c>
      <c r="F6" s="11">
        <f t="shared" si="1"/>
        <v>5</v>
      </c>
      <c r="G6" s="6" t="s">
        <v>9</v>
      </c>
      <c r="H6" s="7">
        <v>1</v>
      </c>
      <c r="I6" s="7">
        <v>15</v>
      </c>
      <c r="J6" s="7">
        <v>11</v>
      </c>
      <c r="K6" s="12">
        <v>1</v>
      </c>
      <c r="N6" t="s">
        <v>30</v>
      </c>
      <c r="T6" s="6" t="s">
        <v>8</v>
      </c>
      <c r="U6" s="7">
        <v>4</v>
      </c>
      <c r="V6" s="7">
        <v>18</v>
      </c>
      <c r="W6" s="7">
        <v>12</v>
      </c>
      <c r="X6" s="3">
        <v>1</v>
      </c>
      <c r="Y6" s="7">
        <f t="shared" si="2"/>
        <v>72</v>
      </c>
      <c r="Z6" s="7">
        <f t="shared" si="3"/>
        <v>24</v>
      </c>
      <c r="AA6" s="7">
        <f t="shared" si="4"/>
        <v>607</v>
      </c>
      <c r="AB6" s="7">
        <f t="shared" si="5"/>
        <v>5</v>
      </c>
      <c r="AC6" s="7">
        <f t="shared" si="6"/>
        <v>32</v>
      </c>
      <c r="AD6" s="5">
        <f t="shared" si="7"/>
        <v>0.4201388888888889</v>
      </c>
      <c r="AF6" s="3">
        <v>4</v>
      </c>
      <c r="AG6" s="21">
        <v>520</v>
      </c>
      <c r="AH6" s="21">
        <v>3</v>
      </c>
      <c r="AI6" s="22">
        <v>27</v>
      </c>
      <c r="AJ6" s="5">
        <f t="shared" si="8"/>
        <v>0.56597222222222221</v>
      </c>
    </row>
    <row r="7" spans="1:36" ht="15" thickBot="1" x14ac:dyDescent="0.35">
      <c r="A7" s="13">
        <v>6</v>
      </c>
      <c r="B7" s="14">
        <f t="shared" si="9"/>
        <v>46032</v>
      </c>
      <c r="C7" s="15">
        <v>0.79513888888888884</v>
      </c>
      <c r="D7" s="16">
        <v>3</v>
      </c>
      <c r="F7" s="11">
        <f t="shared" si="1"/>
        <v>6</v>
      </c>
      <c r="G7" s="6" t="s">
        <v>5</v>
      </c>
      <c r="H7" s="7">
        <v>5</v>
      </c>
      <c r="I7" s="7">
        <v>15</v>
      </c>
      <c r="J7" s="7">
        <v>10</v>
      </c>
      <c r="K7" s="12">
        <v>2</v>
      </c>
      <c r="N7" t="s">
        <v>31</v>
      </c>
      <c r="Q7" s="23" t="s">
        <v>39</v>
      </c>
      <c r="T7" s="6" t="s">
        <v>9</v>
      </c>
      <c r="U7" s="7">
        <v>1</v>
      </c>
      <c r="V7" s="7">
        <v>15</v>
      </c>
      <c r="W7" s="7">
        <v>11</v>
      </c>
      <c r="X7" s="3">
        <v>1</v>
      </c>
      <c r="Y7" s="7">
        <f t="shared" si="2"/>
        <v>15</v>
      </c>
      <c r="Z7" s="7">
        <f t="shared" si="3"/>
        <v>4</v>
      </c>
      <c r="AA7" s="7">
        <f t="shared" si="4"/>
        <v>607</v>
      </c>
      <c r="AB7" s="7">
        <f t="shared" si="5"/>
        <v>5</v>
      </c>
      <c r="AC7" s="7">
        <f t="shared" si="6"/>
        <v>32</v>
      </c>
      <c r="AD7" s="5">
        <f t="shared" si="7"/>
        <v>0.4201388888888889</v>
      </c>
      <c r="AF7" s="3">
        <v>5</v>
      </c>
      <c r="AG7" s="21">
        <v>162</v>
      </c>
      <c r="AH7" s="21">
        <v>3</v>
      </c>
      <c r="AI7" s="22">
        <v>10</v>
      </c>
      <c r="AJ7" s="5">
        <f t="shared" si="8"/>
        <v>0.96805555555555556</v>
      </c>
    </row>
    <row r="8" spans="1:36" ht="15" thickTop="1" x14ac:dyDescent="0.3">
      <c r="F8" s="11">
        <f t="shared" si="1"/>
        <v>7</v>
      </c>
      <c r="G8" s="6" t="s">
        <v>9</v>
      </c>
      <c r="H8" s="7">
        <v>1</v>
      </c>
      <c r="I8" s="7">
        <v>15</v>
      </c>
      <c r="J8" s="7">
        <v>11</v>
      </c>
      <c r="K8" s="12">
        <v>2</v>
      </c>
      <c r="Q8" s="24" t="s">
        <v>0</v>
      </c>
      <c r="R8" s="24" t="s">
        <v>19</v>
      </c>
      <c r="T8" s="6" t="s">
        <v>5</v>
      </c>
      <c r="U8" s="7">
        <v>5</v>
      </c>
      <c r="V8" s="7">
        <v>15</v>
      </c>
      <c r="W8" s="7">
        <v>10</v>
      </c>
      <c r="X8" s="3">
        <v>2</v>
      </c>
      <c r="Y8" s="7">
        <f t="shared" si="2"/>
        <v>75</v>
      </c>
      <c r="Z8" s="7">
        <f t="shared" si="3"/>
        <v>25</v>
      </c>
      <c r="AA8" s="7">
        <f t="shared" si="4"/>
        <v>110</v>
      </c>
      <c r="AB8" s="7">
        <f t="shared" si="5"/>
        <v>3</v>
      </c>
      <c r="AC8" s="7">
        <f t="shared" si="6"/>
        <v>7</v>
      </c>
      <c r="AD8" s="5">
        <f t="shared" si="7"/>
        <v>0.56597222222222221</v>
      </c>
      <c r="AF8" s="3">
        <v>6</v>
      </c>
      <c r="AG8" s="21">
        <v>70</v>
      </c>
      <c r="AH8" s="21">
        <v>3</v>
      </c>
      <c r="AI8" s="22">
        <v>3</v>
      </c>
      <c r="AJ8" s="5">
        <f t="shared" si="8"/>
        <v>0.79513888888888884</v>
      </c>
    </row>
    <row r="9" spans="1:36" x14ac:dyDescent="0.3">
      <c r="A9" s="1" t="s">
        <v>13</v>
      </c>
      <c r="B9" s="2" t="s">
        <v>15</v>
      </c>
      <c r="F9" s="11">
        <f t="shared" si="1"/>
        <v>8</v>
      </c>
      <c r="G9" s="6" t="s">
        <v>6</v>
      </c>
      <c r="H9" s="7">
        <v>1</v>
      </c>
      <c r="I9" s="7">
        <v>20</v>
      </c>
      <c r="J9" s="7">
        <v>17</v>
      </c>
      <c r="K9" s="12">
        <v>2</v>
      </c>
      <c r="Q9" s="6" t="s">
        <v>5</v>
      </c>
      <c r="R9" s="6" t="s">
        <v>32</v>
      </c>
      <c r="T9" s="6" t="s">
        <v>9</v>
      </c>
      <c r="U9" s="7">
        <v>1</v>
      </c>
      <c r="V9" s="7">
        <v>15</v>
      </c>
      <c r="W9" s="7">
        <v>11</v>
      </c>
      <c r="X9" s="3">
        <v>2</v>
      </c>
      <c r="Y9" s="7">
        <f t="shared" si="2"/>
        <v>15</v>
      </c>
      <c r="Z9" s="7">
        <f t="shared" si="3"/>
        <v>4</v>
      </c>
      <c r="AA9" s="7">
        <f t="shared" si="4"/>
        <v>110</v>
      </c>
      <c r="AB9" s="7">
        <f t="shared" si="5"/>
        <v>3</v>
      </c>
      <c r="AC9" s="7">
        <f t="shared" si="6"/>
        <v>7</v>
      </c>
      <c r="AD9" s="5">
        <f t="shared" si="7"/>
        <v>0.56597222222222221</v>
      </c>
    </row>
    <row r="10" spans="1:36" x14ac:dyDescent="0.3">
      <c r="A10" s="3">
        <v>1</v>
      </c>
      <c r="B10" s="6" t="s">
        <v>16</v>
      </c>
      <c r="F10" s="11">
        <f t="shared" si="1"/>
        <v>9</v>
      </c>
      <c r="G10" s="6" t="s">
        <v>7</v>
      </c>
      <c r="H10" s="7">
        <v>1</v>
      </c>
      <c r="I10" s="7">
        <v>35</v>
      </c>
      <c r="J10" s="7">
        <v>30</v>
      </c>
      <c r="K10" s="12">
        <v>3</v>
      </c>
      <c r="Q10" s="6" t="s">
        <v>6</v>
      </c>
      <c r="R10" s="6" t="s">
        <v>20</v>
      </c>
      <c r="T10" s="6" t="s">
        <v>6</v>
      </c>
      <c r="U10" s="7">
        <v>1</v>
      </c>
      <c r="V10" s="7">
        <v>20</v>
      </c>
      <c r="W10" s="7">
        <v>17</v>
      </c>
      <c r="X10" s="3">
        <v>2</v>
      </c>
      <c r="Y10" s="7">
        <f t="shared" si="2"/>
        <v>20</v>
      </c>
      <c r="Z10" s="7">
        <f t="shared" si="3"/>
        <v>3</v>
      </c>
      <c r="AA10" s="7">
        <f t="shared" si="4"/>
        <v>110</v>
      </c>
      <c r="AB10" s="7">
        <f t="shared" si="5"/>
        <v>3</v>
      </c>
      <c r="AC10" s="7">
        <f t="shared" si="6"/>
        <v>7</v>
      </c>
      <c r="AD10" s="5">
        <f t="shared" si="7"/>
        <v>0.56597222222222221</v>
      </c>
    </row>
    <row r="11" spans="1:36" x14ac:dyDescent="0.3">
      <c r="A11" s="3">
        <v>2</v>
      </c>
      <c r="B11" s="6" t="s">
        <v>17</v>
      </c>
      <c r="F11" s="11">
        <f t="shared" si="1"/>
        <v>10</v>
      </c>
      <c r="G11" s="6" t="s">
        <v>5</v>
      </c>
      <c r="H11" s="7">
        <v>10</v>
      </c>
      <c r="I11" s="7">
        <v>15</v>
      </c>
      <c r="J11" s="7">
        <v>10</v>
      </c>
      <c r="K11" s="12">
        <v>4</v>
      </c>
      <c r="Q11" s="6" t="s">
        <v>7</v>
      </c>
      <c r="R11" s="6" t="s">
        <v>21</v>
      </c>
      <c r="T11" s="6" t="s">
        <v>7</v>
      </c>
      <c r="U11" s="7">
        <v>1</v>
      </c>
      <c r="V11" s="7">
        <v>35</v>
      </c>
      <c r="W11" s="7">
        <v>30</v>
      </c>
      <c r="X11" s="3">
        <v>3</v>
      </c>
      <c r="Y11" s="7">
        <f t="shared" si="2"/>
        <v>35</v>
      </c>
      <c r="Z11" s="7">
        <f t="shared" si="3"/>
        <v>5</v>
      </c>
      <c r="AA11" s="7">
        <f t="shared" si="4"/>
        <v>35</v>
      </c>
      <c r="AB11" s="7">
        <f t="shared" si="5"/>
        <v>1</v>
      </c>
      <c r="AC11" s="7">
        <f t="shared" si="6"/>
        <v>1</v>
      </c>
      <c r="AD11" s="5">
        <f t="shared" si="7"/>
        <v>0.59583333333333333</v>
      </c>
    </row>
    <row r="12" spans="1:36" x14ac:dyDescent="0.3">
      <c r="A12" s="3">
        <v>3</v>
      </c>
      <c r="B12" s="6" t="s">
        <v>18</v>
      </c>
      <c r="F12" s="11">
        <f t="shared" si="1"/>
        <v>11</v>
      </c>
      <c r="G12" s="6" t="s">
        <v>6</v>
      </c>
      <c r="H12" s="7">
        <v>15</v>
      </c>
      <c r="I12" s="7">
        <v>20</v>
      </c>
      <c r="J12" s="7">
        <v>17</v>
      </c>
      <c r="K12" s="12">
        <v>4</v>
      </c>
      <c r="Q12" s="6" t="s">
        <v>8</v>
      </c>
      <c r="R12" s="6" t="s">
        <v>22</v>
      </c>
      <c r="T12" s="6" t="s">
        <v>5</v>
      </c>
      <c r="U12" s="7">
        <v>10</v>
      </c>
      <c r="V12" s="7">
        <v>15</v>
      </c>
      <c r="W12" s="7">
        <v>10</v>
      </c>
      <c r="X12" s="3">
        <v>4</v>
      </c>
      <c r="Y12" s="7">
        <f t="shared" si="2"/>
        <v>150</v>
      </c>
      <c r="Z12" s="7">
        <f t="shared" si="3"/>
        <v>50</v>
      </c>
      <c r="AA12" s="7">
        <f t="shared" si="4"/>
        <v>520</v>
      </c>
      <c r="AB12" s="7">
        <f t="shared" si="5"/>
        <v>3</v>
      </c>
      <c r="AC12" s="7">
        <f t="shared" si="6"/>
        <v>27</v>
      </c>
      <c r="AD12" s="5">
        <f t="shared" si="7"/>
        <v>0.56597222222222221</v>
      </c>
    </row>
    <row r="13" spans="1:36" x14ac:dyDescent="0.3">
      <c r="F13" s="11">
        <f t="shared" si="1"/>
        <v>12</v>
      </c>
      <c r="G13" s="6" t="s">
        <v>7</v>
      </c>
      <c r="H13" s="7">
        <v>2</v>
      </c>
      <c r="I13" s="7">
        <v>35</v>
      </c>
      <c r="J13" s="7">
        <v>30</v>
      </c>
      <c r="K13" s="12">
        <v>4</v>
      </c>
      <c r="Q13" s="6" t="s">
        <v>9</v>
      </c>
      <c r="R13" s="6" t="s">
        <v>23</v>
      </c>
      <c r="T13" s="6" t="s">
        <v>6</v>
      </c>
      <c r="U13" s="7">
        <v>15</v>
      </c>
      <c r="V13" s="7">
        <v>20</v>
      </c>
      <c r="W13" s="7">
        <v>17</v>
      </c>
      <c r="X13" s="3">
        <v>4</v>
      </c>
      <c r="Y13" s="7">
        <f t="shared" si="2"/>
        <v>300</v>
      </c>
      <c r="Z13" s="7">
        <f t="shared" si="3"/>
        <v>45</v>
      </c>
      <c r="AA13" s="7">
        <f t="shared" si="4"/>
        <v>520</v>
      </c>
      <c r="AB13" s="7">
        <f t="shared" si="5"/>
        <v>3</v>
      </c>
      <c r="AC13" s="7">
        <f t="shared" si="6"/>
        <v>27</v>
      </c>
      <c r="AD13" s="5">
        <f t="shared" si="7"/>
        <v>0.56597222222222221</v>
      </c>
    </row>
    <row r="14" spans="1:36" x14ac:dyDescent="0.3">
      <c r="A14" s="1" t="s">
        <v>24</v>
      </c>
      <c r="B14" s="2" t="s">
        <v>19</v>
      </c>
      <c r="F14" s="11">
        <f t="shared" si="1"/>
        <v>13</v>
      </c>
      <c r="G14" s="6" t="s">
        <v>8</v>
      </c>
      <c r="H14" s="7">
        <v>4</v>
      </c>
      <c r="I14" s="7">
        <v>18</v>
      </c>
      <c r="J14" s="7">
        <v>12</v>
      </c>
      <c r="K14" s="12">
        <v>5</v>
      </c>
      <c r="T14" s="6" t="s">
        <v>7</v>
      </c>
      <c r="U14" s="7">
        <v>2</v>
      </c>
      <c r="V14" s="7">
        <v>35</v>
      </c>
      <c r="W14" s="7">
        <v>30</v>
      </c>
      <c r="X14" s="3">
        <v>4</v>
      </c>
      <c r="Y14" s="7">
        <f t="shared" si="2"/>
        <v>70</v>
      </c>
      <c r="Z14" s="7">
        <f t="shared" si="3"/>
        <v>10</v>
      </c>
      <c r="AA14" s="7">
        <f t="shared" si="4"/>
        <v>520</v>
      </c>
      <c r="AB14" s="7">
        <f t="shared" si="5"/>
        <v>3</v>
      </c>
      <c r="AC14" s="7">
        <f t="shared" si="6"/>
        <v>27</v>
      </c>
      <c r="AD14" s="5">
        <f t="shared" si="7"/>
        <v>0.56597222222222221</v>
      </c>
    </row>
    <row r="15" spans="1:36" x14ac:dyDescent="0.3">
      <c r="A15" s="6" t="s">
        <v>5</v>
      </c>
      <c r="B15" s="6" t="s">
        <v>32</v>
      </c>
      <c r="F15" s="11">
        <f t="shared" si="1"/>
        <v>14</v>
      </c>
      <c r="G15" s="6" t="s">
        <v>9</v>
      </c>
      <c r="H15" s="7">
        <v>1</v>
      </c>
      <c r="I15" s="7">
        <v>15</v>
      </c>
      <c r="J15" s="7">
        <v>11</v>
      </c>
      <c r="K15" s="12">
        <v>5</v>
      </c>
      <c r="T15" s="6" t="s">
        <v>8</v>
      </c>
      <c r="U15" s="7">
        <v>4</v>
      </c>
      <c r="V15" s="7">
        <v>18</v>
      </c>
      <c r="W15" s="7">
        <v>12</v>
      </c>
      <c r="X15" s="3">
        <v>5</v>
      </c>
      <c r="Y15" s="7">
        <f t="shared" si="2"/>
        <v>72</v>
      </c>
      <c r="Z15" s="7">
        <f t="shared" si="3"/>
        <v>24</v>
      </c>
      <c r="AA15" s="7">
        <f t="shared" si="4"/>
        <v>162</v>
      </c>
      <c r="AB15" s="7">
        <f t="shared" si="5"/>
        <v>3</v>
      </c>
      <c r="AC15" s="7">
        <f t="shared" si="6"/>
        <v>10</v>
      </c>
      <c r="AD15" s="5">
        <f t="shared" si="7"/>
        <v>0.96805555555555556</v>
      </c>
    </row>
    <row r="16" spans="1:36" x14ac:dyDescent="0.3">
      <c r="A16" s="6" t="s">
        <v>6</v>
      </c>
      <c r="B16" s="6" t="s">
        <v>20</v>
      </c>
      <c r="F16" s="11">
        <f t="shared" si="1"/>
        <v>15</v>
      </c>
      <c r="G16" s="6" t="s">
        <v>5</v>
      </c>
      <c r="H16" s="7">
        <v>5</v>
      </c>
      <c r="I16" s="7">
        <v>15</v>
      </c>
      <c r="J16" s="7">
        <v>10</v>
      </c>
      <c r="K16" s="12">
        <v>5</v>
      </c>
      <c r="T16" s="6" t="s">
        <v>9</v>
      </c>
      <c r="U16" s="7">
        <v>1</v>
      </c>
      <c r="V16" s="7">
        <v>15</v>
      </c>
      <c r="W16" s="7">
        <v>11</v>
      </c>
      <c r="X16" s="3">
        <v>5</v>
      </c>
      <c r="Y16" s="7">
        <f t="shared" si="2"/>
        <v>15</v>
      </c>
      <c r="Z16" s="7">
        <f t="shared" si="3"/>
        <v>4</v>
      </c>
      <c r="AA16" s="7">
        <f t="shared" si="4"/>
        <v>162</v>
      </c>
      <c r="AB16" s="7">
        <f t="shared" si="5"/>
        <v>3</v>
      </c>
      <c r="AC16" s="7">
        <f t="shared" si="6"/>
        <v>10</v>
      </c>
      <c r="AD16" s="5">
        <f t="shared" si="7"/>
        <v>0.96805555555555556</v>
      </c>
    </row>
    <row r="17" spans="1:35" x14ac:dyDescent="0.3">
      <c r="A17" s="6" t="s">
        <v>7</v>
      </c>
      <c r="B17" s="6" t="s">
        <v>21</v>
      </c>
      <c r="F17" s="11">
        <f t="shared" si="1"/>
        <v>16</v>
      </c>
      <c r="G17" s="6" t="s">
        <v>9</v>
      </c>
      <c r="H17" s="7">
        <v>1</v>
      </c>
      <c r="I17" s="7">
        <v>15</v>
      </c>
      <c r="J17" s="7">
        <v>11</v>
      </c>
      <c r="K17" s="12">
        <v>6</v>
      </c>
      <c r="T17" s="6" t="s">
        <v>5</v>
      </c>
      <c r="U17" s="7">
        <v>5</v>
      </c>
      <c r="V17" s="7">
        <v>15</v>
      </c>
      <c r="W17" s="7">
        <v>10</v>
      </c>
      <c r="X17" s="3">
        <v>5</v>
      </c>
      <c r="Y17" s="7">
        <f t="shared" si="2"/>
        <v>75</v>
      </c>
      <c r="Z17" s="7">
        <f t="shared" si="3"/>
        <v>25</v>
      </c>
      <c r="AA17" s="7">
        <f t="shared" si="4"/>
        <v>162</v>
      </c>
      <c r="AB17" s="7">
        <f t="shared" si="5"/>
        <v>3</v>
      </c>
      <c r="AC17" s="7">
        <f t="shared" si="6"/>
        <v>10</v>
      </c>
      <c r="AD17" s="5">
        <f t="shared" si="7"/>
        <v>0.96805555555555556</v>
      </c>
    </row>
    <row r="18" spans="1:35" x14ac:dyDescent="0.3">
      <c r="A18" s="6" t="s">
        <v>8</v>
      </c>
      <c r="B18" s="6" t="s">
        <v>22</v>
      </c>
      <c r="F18" s="11">
        <f t="shared" si="1"/>
        <v>17</v>
      </c>
      <c r="G18" s="6" t="s">
        <v>6</v>
      </c>
      <c r="H18" s="7">
        <v>1</v>
      </c>
      <c r="I18" s="7">
        <v>20</v>
      </c>
      <c r="J18" s="7">
        <v>17</v>
      </c>
      <c r="K18" s="12">
        <v>6</v>
      </c>
      <c r="T18" s="6" t="s">
        <v>9</v>
      </c>
      <c r="U18" s="7">
        <v>1</v>
      </c>
      <c r="V18" s="7">
        <v>15</v>
      </c>
      <c r="W18" s="7">
        <v>11</v>
      </c>
      <c r="X18" s="3">
        <v>6</v>
      </c>
      <c r="Y18" s="7">
        <f t="shared" si="2"/>
        <v>15</v>
      </c>
      <c r="Z18" s="7">
        <f t="shared" si="3"/>
        <v>4</v>
      </c>
      <c r="AA18" s="7">
        <f t="shared" si="4"/>
        <v>70</v>
      </c>
      <c r="AB18" s="7">
        <f t="shared" si="5"/>
        <v>3</v>
      </c>
      <c r="AC18" s="7">
        <f t="shared" si="6"/>
        <v>3</v>
      </c>
      <c r="AD18" s="5">
        <f t="shared" si="7"/>
        <v>0.79513888888888884</v>
      </c>
    </row>
    <row r="19" spans="1:35" ht="15" thickBot="1" x14ac:dyDescent="0.35">
      <c r="A19" s="6" t="s">
        <v>9</v>
      </c>
      <c r="B19" s="6" t="s">
        <v>23</v>
      </c>
      <c r="F19" s="13">
        <f t="shared" si="1"/>
        <v>18</v>
      </c>
      <c r="G19" s="19" t="s">
        <v>7</v>
      </c>
      <c r="H19" s="20">
        <v>1</v>
      </c>
      <c r="I19" s="20">
        <v>35</v>
      </c>
      <c r="J19" s="20">
        <v>30</v>
      </c>
      <c r="K19" s="16">
        <v>6</v>
      </c>
      <c r="T19" s="6" t="s">
        <v>6</v>
      </c>
      <c r="U19" s="7">
        <v>1</v>
      </c>
      <c r="V19" s="7">
        <v>20</v>
      </c>
      <c r="W19" s="7">
        <v>17</v>
      </c>
      <c r="X19" s="3">
        <v>6</v>
      </c>
      <c r="Y19" s="7">
        <f t="shared" si="2"/>
        <v>20</v>
      </c>
      <c r="Z19" s="7">
        <f t="shared" si="3"/>
        <v>3</v>
      </c>
      <c r="AA19" s="7">
        <f t="shared" si="4"/>
        <v>70</v>
      </c>
      <c r="AB19" s="7">
        <f t="shared" si="5"/>
        <v>3</v>
      </c>
      <c r="AC19" s="7">
        <f t="shared" si="6"/>
        <v>3</v>
      </c>
      <c r="AD19" s="5">
        <f t="shared" si="7"/>
        <v>0.79513888888888884</v>
      </c>
    </row>
    <row r="20" spans="1:35" ht="15" thickTop="1" x14ac:dyDescent="0.3">
      <c r="N20" s="27" t="s">
        <v>42</v>
      </c>
      <c r="T20" s="6" t="s">
        <v>7</v>
      </c>
      <c r="U20" s="7">
        <v>1</v>
      </c>
      <c r="V20" s="7">
        <v>35</v>
      </c>
      <c r="W20" s="7">
        <v>30</v>
      </c>
      <c r="X20" s="3">
        <v>6</v>
      </c>
      <c r="Y20" s="7">
        <f t="shared" si="2"/>
        <v>35</v>
      </c>
      <c r="Z20" s="7">
        <f t="shared" si="3"/>
        <v>5</v>
      </c>
      <c r="AA20" s="7">
        <f t="shared" si="4"/>
        <v>70</v>
      </c>
      <c r="AB20" s="7">
        <f t="shared" si="5"/>
        <v>3</v>
      </c>
      <c r="AC20" s="7">
        <f t="shared" si="6"/>
        <v>3</v>
      </c>
      <c r="AD20" s="5">
        <f t="shared" si="7"/>
        <v>0.79513888888888884</v>
      </c>
    </row>
    <row r="21" spans="1:35" x14ac:dyDescent="0.3">
      <c r="N21" s="25" t="s">
        <v>43</v>
      </c>
    </row>
    <row r="22" spans="1:35" x14ac:dyDescent="0.3">
      <c r="A22" s="29" t="s">
        <v>14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N22" s="25" t="s">
        <v>44</v>
      </c>
      <c r="Q22" s="30" t="s">
        <v>40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</row>
    <row r="23" spans="1:35" x14ac:dyDescent="0.3">
      <c r="N23" s="26" t="s">
        <v>45</v>
      </c>
    </row>
    <row r="28" spans="1:35" x14ac:dyDescent="0.3">
      <c r="A28" s="28" t="s">
        <v>46</v>
      </c>
      <c r="B28" s="28"/>
    </row>
    <row r="29" spans="1:35" x14ac:dyDescent="0.3">
      <c r="A29" s="28"/>
      <c r="B29" s="28" t="s">
        <v>47</v>
      </c>
    </row>
    <row r="30" spans="1:35" x14ac:dyDescent="0.3">
      <c r="A30" s="28"/>
      <c r="B30" s="28" t="s">
        <v>48</v>
      </c>
    </row>
    <row r="31" spans="1:35" x14ac:dyDescent="0.3">
      <c r="A31" s="28"/>
      <c r="B31" s="28" t="s">
        <v>49</v>
      </c>
    </row>
    <row r="32" spans="1:35" x14ac:dyDescent="0.3">
      <c r="A32" s="28"/>
      <c r="B32" s="28"/>
    </row>
    <row r="33" spans="1:2" x14ac:dyDescent="0.3">
      <c r="A33" s="28" t="s">
        <v>50</v>
      </c>
      <c r="B33" s="28" t="s">
        <v>51</v>
      </c>
    </row>
    <row r="34" spans="1:2" x14ac:dyDescent="0.3">
      <c r="A34" s="28"/>
      <c r="B34" s="28" t="s">
        <v>54</v>
      </c>
    </row>
    <row r="35" spans="1:2" x14ac:dyDescent="0.3">
      <c r="A35" s="28"/>
      <c r="B35" s="28" t="s">
        <v>53</v>
      </c>
    </row>
    <row r="36" spans="1:2" x14ac:dyDescent="0.3">
      <c r="A36" s="28"/>
      <c r="B36" s="28" t="s">
        <v>52</v>
      </c>
    </row>
  </sheetData>
  <mergeCells count="2">
    <mergeCell ref="A22:K22"/>
    <mergeCell ref="Q22:AI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7E54-127A-4478-8AEE-3A9D3BBB1251}">
  <dimension ref="A1"/>
  <sheetViews>
    <sheetView workbookViewId="0">
      <selection sqref="A1:B9"/>
    </sheetView>
  </sheetViews>
  <sheetFormatPr defaultRowHeight="14.4" x14ac:dyDescent="0.3"/>
  <cols>
    <col min="2" max="2" width="43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OLTP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Olinto Rodríguez-Atencio</dc:creator>
  <cp:lastModifiedBy>Olinto Rodríguez-Atencio</cp:lastModifiedBy>
  <dcterms:created xsi:type="dcterms:W3CDTF">2026-01-24T14:56:40Z</dcterms:created>
  <dcterms:modified xsi:type="dcterms:W3CDTF">2026-07-11T15:08:29Z</dcterms:modified>
</cp:coreProperties>
</file>